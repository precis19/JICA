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Plan d'action" sheetId="1" state="visible" r:id="rId2"/>
    <sheet name="P_L" sheetId="2" state="visible" r:id="rId3"/>
    <sheet name="Investissement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<sst xmlns="http://schemas.openxmlformats.org/spreadsheetml/2006/main" count="85" uniqueCount="75">
  <si>
    <t xml:space="preserve">CALENDRIER ANNEE 1</t>
  </si>
  <si>
    <t xml:space="preserve">Numéro</t>
  </si>
  <si>
    <t xml:space="preserve">Activité</t>
  </si>
  <si>
    <t xml:space="preserve">Indicateurs de résultats</t>
  </si>
  <si>
    <t xml:space="preserve">Objectifs</t>
  </si>
  <si>
    <t xml:space="preserve">M1</t>
  </si>
  <si>
    <t xml:space="preserve">M2</t>
  </si>
  <si>
    <t xml:space="preserve">M3</t>
  </si>
  <si>
    <t xml:space="preserve">M4</t>
  </si>
  <si>
    <t xml:space="preserve">M5</t>
  </si>
  <si>
    <t xml:space="preserve">M6</t>
  </si>
  <si>
    <t xml:space="preserve">M7</t>
  </si>
  <si>
    <t xml:space="preserve">M8</t>
  </si>
  <si>
    <t xml:space="preserve">M9</t>
  </si>
  <si>
    <t xml:space="preserve">M10</t>
  </si>
  <si>
    <t xml:space="preserve">M11</t>
  </si>
  <si>
    <t xml:space="preserve">M12</t>
  </si>
  <si>
    <t xml:space="preserve">Activité 1</t>
  </si>
  <si>
    <t xml:space="preserve">Realisation du modeles du produit</t>
  </si>
  <si>
    <t xml:space="preserve">Site web, Systeme alarme et inspections autonome</t>
  </si>
  <si>
    <t xml:space="preserve">Activité 2</t>
  </si>
  <si>
    <t xml:space="preserve">Communication Réseaux Sociaux</t>
  </si>
  <si>
    <t xml:space="preserve">Personnes atteintes</t>
  </si>
  <si>
    <t xml:space="preserve">Activité 3</t>
  </si>
  <si>
    <t xml:space="preserve">Recherche de partenariat</t>
  </si>
  <si>
    <t xml:space="preserve">Entreprise partageant le même ideologie que nous</t>
  </si>
  <si>
    <t xml:space="preserve">Activité 4</t>
  </si>
  <si>
    <t xml:space="preserve">Recherche de clients potentiels</t>
  </si>
  <si>
    <t xml:space="preserve">Particulier, Entreprise, Association, …</t>
  </si>
  <si>
    <t xml:space="preserve">Activité 5</t>
  </si>
  <si>
    <t xml:space="preserve">Amelioration de l’equipe</t>
  </si>
  <si>
    <t xml:space="preserve">Recrutement des personnes specialistes</t>
  </si>
  <si>
    <t xml:space="preserve">Activité 6</t>
  </si>
  <si>
    <t xml:space="preserve">Amelioration du produits</t>
  </si>
  <si>
    <t xml:space="preserve">Nouveaux Produits et nouveaux fonctionnalités</t>
  </si>
  <si>
    <t xml:space="preserve">%</t>
  </si>
  <si>
    <t xml:space="preserve">Revenus</t>
  </si>
  <si>
    <t xml:space="preserve">Produit 1</t>
  </si>
  <si>
    <t xml:space="preserve">Produit 2</t>
  </si>
  <si>
    <t xml:space="preserve">Produit 3</t>
  </si>
  <si>
    <t xml:space="preserve">Produit 4</t>
  </si>
  <si>
    <t xml:space="preserve">Produit 5</t>
  </si>
  <si>
    <t xml:space="preserve">Produit 6</t>
  </si>
  <si>
    <t xml:space="preserve">Produit 7</t>
  </si>
  <si>
    <t xml:space="preserve">Produit 8</t>
  </si>
  <si>
    <t xml:space="preserve">Charges directes</t>
  </si>
  <si>
    <t xml:space="preserve">Couts Matières premières</t>
  </si>
  <si>
    <t xml:space="preserve">Coûts de production</t>
  </si>
  <si>
    <t xml:space="preserve">Marge brute</t>
  </si>
  <si>
    <t xml:space="preserve">Charges indirectes</t>
  </si>
  <si>
    <t xml:space="preserve">Salaires</t>
  </si>
  <si>
    <t xml:space="preserve">Communication et marketing</t>
  </si>
  <si>
    <t xml:space="preserve">Locations bâtiments et terrains</t>
  </si>
  <si>
    <t xml:space="preserve">Services extérieurs</t>
  </si>
  <si>
    <t xml:space="preserve">Coûts financiers / Emprunts</t>
  </si>
  <si>
    <t xml:space="preserve">Energie &amp; Eau</t>
  </si>
  <si>
    <t xml:space="preserve">Carburant</t>
  </si>
  <si>
    <t xml:space="preserve">Coûts administratifs</t>
  </si>
  <si>
    <t xml:space="preserve">Autres coûts</t>
  </si>
  <si>
    <t xml:space="preserve">Marge nette</t>
  </si>
  <si>
    <t xml:space="preserve">Impôts et taxes</t>
  </si>
  <si>
    <t xml:space="preserve">Profit net</t>
  </si>
  <si>
    <t xml:space="preserve">Nature de l'investissement</t>
  </si>
  <si>
    <t xml:space="preserve">Prix Unitaire</t>
  </si>
  <si>
    <t xml:space="preserve">Quantité</t>
  </si>
  <si>
    <t xml:space="preserve">Montant</t>
  </si>
  <si>
    <r>
      <rPr>
        <b val="true"/>
        <sz val="11"/>
        <color rgb="FF000000"/>
        <rFont val="Calibri"/>
        <family val="2"/>
        <charset val="1"/>
      </rPr>
      <t xml:space="preserve">Autres coûts </t>
    </r>
    <r>
      <rPr>
        <sz val="11"/>
        <color rgb="FF000000"/>
        <rFont val="Calibri"/>
        <family val="2"/>
        <charset val="1"/>
      </rPr>
      <t xml:space="preserve">(douanes , transports , taxes …)</t>
    </r>
  </si>
  <si>
    <t xml:space="preserve">Mois d'acquistion</t>
  </si>
  <si>
    <t xml:space="preserve">Microcontrolleurs</t>
  </si>
  <si>
    <t xml:space="preserve">Camera </t>
  </si>
  <si>
    <t xml:space="preserve">Esp8266</t>
  </si>
  <si>
    <t xml:space="preserve">Esp32</t>
  </si>
  <si>
    <t xml:space="preserve">Total</t>
  </si>
  <si>
    <t xml:space="preserve">Raspberry pi</t>
  </si>
  <si>
    <t xml:space="preserve">Fils de Connexions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</si>
</sst>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mmm\-yy"/>
    <numFmt numFmtId="166" formatCode="General"/>
    <numFmt numFmtId="167" formatCode="0%"/>
    <numFmt numFmtId="168" formatCode="_-* #,##0.00\ _€_-;\-* #,##0.00\ _€_-;_-* \-??\ _€_-;_-@_-"/>
    <numFmt numFmtId="169" formatCode="_-* #,##0\ _€_-;\-* #,##0\ _€_-;_-* \-??\ _€_-;_-@_-"/>
    <numFmt numFmtId="170" formatCode="mm/dd/yy"/>
    <numFmt numFmtId="171" formatCode="dd/mm/yy"/>
  </numFmts>
  <fonts count="9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i val="true"/>
      <sz val="11"/>
      <color rgb="FF000000"/>
      <name val="Calibri"/>
      <family val="2"/>
      <charset val="1"/>
    </font>
    <font>
      <sz val="11"/>
      <color rgb="FF000000"/>
      <name val="Calibri"/>
      <family val="0"/>
    </font>
    <font>
      <b val="true"/>
      <i val="true"/>
      <sz val="11"/>
      <color rgb="FF000000"/>
      <name val="Calibri"/>
      <family val="2"/>
      <charset val="1"/>
    </font>
    <font>
      <sz val="12"/>
      <name val="Calibri"/>
      <family val="0"/>
    </font>
  </fonts>
  <fills count="7">
    <fill>
      <patternFill patternType="none"/>
    </fill>
    <fill>
      <patternFill patternType="gray125"/>
    </fill>
    <fill>
      <patternFill patternType="solid">
        <fgColor rgb="FFF8CBAD"/>
        <bgColor rgb="FFC0C0C0"/>
      </patternFill>
    </fill>
    <fill>
      <patternFill patternType="solid">
        <fgColor rgb="FF7C7C7C"/>
        <bgColor rgb="FF666699"/>
      </patternFill>
    </fill>
    <fill>
      <patternFill patternType="solid">
        <fgColor rgb="FFFFFF00"/>
        <bgColor rgb="FFFFFF00"/>
      </patternFill>
    </fill>
    <fill>
      <patternFill patternType="solid">
        <fgColor rgb="FFBDD7EE"/>
        <bgColor rgb="FF99CCFF"/>
      </patternFill>
    </fill>
    <fill>
      <patternFill patternType="solid">
        <fgColor rgb="FFFFFFFF"/>
        <bgColor rgb="FFFFFF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8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7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3" borderId="1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" fillId="3" borderId="1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1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C7C7C"/>
      <rgbColor rgb="FF9999FF"/>
      <rgbColor rgb="FF993366"/>
      <rgbColor rgb="FFFFFFCC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6</xdr:col>
      <xdr:colOff>119520</xdr:colOff>
      <xdr:row>16</xdr:row>
      <xdr:rowOff>82080</xdr:rowOff>
    </xdr:from>
    <xdr:to>
      <xdr:col>13</xdr:col>
      <xdr:colOff>394560</xdr:colOff>
      <xdr:row>23</xdr:row>
      <xdr:rowOff>155520</xdr:rowOff>
    </xdr:to>
    <xdr:sp>
      <xdr:nvSpPr>
        <xdr:cNvPr id="0" name="ZoneTexte 1"/>
        <xdr:cNvSpPr/>
      </xdr:nvSpPr>
      <xdr:spPr>
        <a:xfrm>
          <a:off x="10737360" y="2897640"/>
          <a:ext cx="5706720" cy="1340280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round/>
        </a:ln>
      </xdr:spPr>
      <xdr:style>
        <a:lnRef idx="0"/>
        <a:fillRef idx="0"/>
        <a:effectRef idx="0"/>
        <a:fontRef idx="minor"/>
      </xdr:style>
      <xdr:txBody>
        <a:bodyPr horzOverflow="clip" vertOverflow="clip" lIns="90000" rIns="90000" tIns="45000" bIns="45000" anchor="t">
          <a:noAutofit/>
        </a:bodyPr>
        <a:p>
          <a:pPr>
            <a:lnSpc>
              <a:spcPct val="100000"/>
            </a:lnSpc>
          </a:pPr>
          <a:r>
            <a:rPr b="0" lang="fr-FR" sz="1100" spc="-1" strike="noStrike">
              <a:solidFill>
                <a:srgbClr val="000000"/>
              </a:solidFill>
              <a:latin typeface="Calibri"/>
            </a:rPr>
            <a:t>Veuillez remplir ce fichier pour déterminer votre activité dans les prochaines mois et années</a:t>
          </a:r>
          <a:endParaRPr b="0" lang="fr-FR" sz="1100" spc="-1" strike="noStrike">
            <a:latin typeface="Times New Roman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12</xdr:col>
      <xdr:colOff>0</xdr:colOff>
      <xdr:row>8</xdr:row>
      <xdr:rowOff>0</xdr:rowOff>
    </xdr:from>
    <xdr:to>
      <xdr:col>17</xdr:col>
      <xdr:colOff>753120</xdr:colOff>
      <xdr:row>15</xdr:row>
      <xdr:rowOff>110520</xdr:rowOff>
    </xdr:to>
    <xdr:sp>
      <xdr:nvSpPr>
        <xdr:cNvPr id="1" name="ZoneTexte 1"/>
        <xdr:cNvSpPr/>
      </xdr:nvSpPr>
      <xdr:spPr>
        <a:xfrm>
          <a:off x="14995440" y="1447920"/>
          <a:ext cx="5439600" cy="1377360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round/>
        </a:ln>
      </xdr:spPr>
      <xdr:style>
        <a:lnRef idx="0"/>
        <a:fillRef idx="0"/>
        <a:effectRef idx="0"/>
        <a:fontRef idx="minor"/>
      </xdr:style>
      <xdr:txBody>
        <a:bodyPr horzOverflow="clip" vertOverflow="clip" lIns="90000" rIns="90000" tIns="45000" bIns="45000" anchor="t">
          <a:noAutofit/>
        </a:bodyPr>
        <a:p>
          <a:pPr>
            <a:lnSpc>
              <a:spcPct val="100000"/>
            </a:lnSpc>
          </a:pPr>
          <a:r>
            <a:rPr b="0" lang="fr-FR" sz="1100" spc="-1" strike="noStrike">
              <a:solidFill>
                <a:srgbClr val="000000"/>
              </a:solidFill>
              <a:latin typeface="Calibri"/>
            </a:rPr>
            <a:t>Veuillez remplir les cases en bleu uniquement , le montant utilisé est en Ariary</a:t>
          </a:r>
          <a:br/>
          <a:r>
            <a:rPr b="0" lang="fr-FR" sz="1100" spc="-1" strike="noStrike">
              <a:solidFill>
                <a:srgbClr val="000000"/>
              </a:solidFill>
              <a:latin typeface="Calibri"/>
            </a:rPr>
            <a:t>Les cases en jaunes peuvent être modifiées selon vos offres ( ex : paquet 35g)</a:t>
          </a:r>
          <a:endParaRPr b="0" lang="fr-FR" sz="1100" spc="-1" strike="noStrike">
            <a:latin typeface="Times New Roman"/>
          </a:endParaRPr>
        </a:p>
      </xdr:txBody>
    </xdr:sp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Q1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5" ySplit="1" topLeftCell="L2" activePane="bottomRight" state="frozen"/>
      <selection pane="topLeft" activeCell="A1" activeCellId="0" sqref="A1"/>
      <selection pane="topRight" activeCell="L1" activeCellId="0" sqref="L1"/>
      <selection pane="bottomLeft" activeCell="A2" activeCellId="0" sqref="A2"/>
      <selection pane="bottomRight" activeCell="C10" activeCellId="0" sqref="C10"/>
    </sheetView>
  </sheetViews>
  <sheetFormatPr defaultColWidth="8.73046875" defaultRowHeight="14.25" zeroHeight="false" outlineLevelRow="0" outlineLevelCol="0"/>
  <cols>
    <col collapsed="false" customWidth="true" hidden="false" outlineLevel="0" max="2" min="2" style="0" width="14.72"/>
    <col collapsed="false" customWidth="true" hidden="false" outlineLevel="0" max="3" min="3" style="0" width="28.18"/>
    <col collapsed="false" customWidth="true" hidden="false" outlineLevel="0" max="4" min="4" style="0" width="41.89"/>
    <col collapsed="false" customWidth="true" hidden="false" outlineLevel="0" max="5" min="5" style="0" width="17.17"/>
  </cols>
  <sheetData>
    <row r="1" customFormat="false" ht="13.8" hidden="false" customHeight="false" outlineLevel="0" collapsed="false">
      <c r="F1" s="1" t="s">
        <v>0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customFormat="false" ht="13.8" hidden="false" customHeight="false" outlineLevel="0" collapsed="false">
      <c r="F2" s="2" t="n">
        <v>45108</v>
      </c>
      <c r="G2" s="2" t="n">
        <v>45139</v>
      </c>
      <c r="H2" s="2" t="n">
        <v>45170</v>
      </c>
      <c r="I2" s="2" t="n">
        <v>45200</v>
      </c>
      <c r="J2" s="2" t="n">
        <v>45231</v>
      </c>
      <c r="K2" s="2" t="n">
        <v>45261</v>
      </c>
      <c r="L2" s="2" t="n">
        <v>45292</v>
      </c>
      <c r="M2" s="2" t="n">
        <v>45323</v>
      </c>
      <c r="N2" s="2" t="n">
        <v>45352</v>
      </c>
      <c r="O2" s="2" t="n">
        <v>45383</v>
      </c>
      <c r="P2" s="2" t="n">
        <v>45413</v>
      </c>
      <c r="Q2" s="2" t="n">
        <v>45444</v>
      </c>
    </row>
    <row r="3" customFormat="false" ht="13.8" hidden="false" customHeight="false" outlineLevel="0" collapsed="false">
      <c r="B3" s="3" t="s">
        <v>1</v>
      </c>
      <c r="C3" s="3" t="s">
        <v>2</v>
      </c>
      <c r="D3" s="3" t="s">
        <v>3</v>
      </c>
      <c r="E3" s="4" t="s">
        <v>4</v>
      </c>
      <c r="F3" s="3" t="s">
        <v>5</v>
      </c>
      <c r="G3" s="3" t="s">
        <v>6</v>
      </c>
      <c r="H3" s="3" t="s">
        <v>7</v>
      </c>
      <c r="I3" s="3" t="s">
        <v>8</v>
      </c>
      <c r="J3" s="3" t="s">
        <v>9</v>
      </c>
      <c r="K3" s="3" t="s">
        <v>10</v>
      </c>
      <c r="L3" s="3" t="s">
        <v>11</v>
      </c>
      <c r="M3" s="3" t="s">
        <v>12</v>
      </c>
      <c r="N3" s="3" t="s">
        <v>13</v>
      </c>
      <c r="O3" s="3" t="s">
        <v>14</v>
      </c>
      <c r="P3" s="3" t="s">
        <v>15</v>
      </c>
      <c r="Q3" s="3" t="s">
        <v>16</v>
      </c>
    </row>
    <row r="4" customFormat="false" ht="13.8" hidden="false" customHeight="false" outlineLevel="0" collapsed="false">
      <c r="A4" s="5"/>
      <c r="B4" s="6" t="s">
        <v>17</v>
      </c>
      <c r="C4" s="0" t="s">
        <v>18</v>
      </c>
      <c r="D4" s="0" t="s">
        <v>19</v>
      </c>
      <c r="E4" s="0" t="n">
        <v>3</v>
      </c>
      <c r="G4" s="0" t="n">
        <v>1</v>
      </c>
      <c r="P4" s="0" t="n">
        <v>2</v>
      </c>
    </row>
    <row r="5" customFormat="false" ht="13.8" hidden="false" customHeight="false" outlineLevel="0" collapsed="false">
      <c r="B5" s="6" t="s">
        <v>20</v>
      </c>
      <c r="C5" s="6" t="s">
        <v>21</v>
      </c>
      <c r="D5" s="6" t="s">
        <v>22</v>
      </c>
      <c r="E5" s="6" t="n">
        <v>600</v>
      </c>
      <c r="F5" s="0" t="n">
        <f aca="false">50</f>
        <v>50</v>
      </c>
      <c r="G5" s="0" t="n">
        <f aca="false">50</f>
        <v>50</v>
      </c>
      <c r="H5" s="0" t="n">
        <f aca="false">50</f>
        <v>50</v>
      </c>
      <c r="I5" s="0" t="n">
        <f aca="false">50</f>
        <v>50</v>
      </c>
      <c r="J5" s="0" t="n">
        <f aca="false">50</f>
        <v>50</v>
      </c>
      <c r="K5" s="0" t="n">
        <f aca="false">50</f>
        <v>50</v>
      </c>
      <c r="L5" s="0" t="n">
        <f aca="false">50</f>
        <v>50</v>
      </c>
      <c r="M5" s="0" t="n">
        <f aca="false">50</f>
        <v>50</v>
      </c>
      <c r="N5" s="0" t="n">
        <f aca="false">50</f>
        <v>50</v>
      </c>
      <c r="O5" s="0" t="n">
        <f aca="false">50</f>
        <v>50</v>
      </c>
      <c r="P5" s="0" t="n">
        <f aca="false">50</f>
        <v>50</v>
      </c>
      <c r="Q5" s="0" t="n">
        <f aca="false">50</f>
        <v>50</v>
      </c>
    </row>
    <row r="6" customFormat="false" ht="13.8" hidden="false" customHeight="false" outlineLevel="0" collapsed="false">
      <c r="B6" s="6" t="s">
        <v>23</v>
      </c>
      <c r="C6" s="6" t="s">
        <v>24</v>
      </c>
      <c r="D6" s="7" t="s">
        <v>25</v>
      </c>
      <c r="E6" s="7" t="n">
        <v>4</v>
      </c>
      <c r="N6" s="0" t="n">
        <v>1</v>
      </c>
      <c r="Q6" s="0" t="n">
        <v>3</v>
      </c>
    </row>
    <row r="7" customFormat="false" ht="13.8" hidden="false" customHeight="false" outlineLevel="0" collapsed="false">
      <c r="B7" s="6" t="s">
        <v>26</v>
      </c>
      <c r="C7" s="6" t="s">
        <v>27</v>
      </c>
      <c r="D7" s="7" t="s">
        <v>28</v>
      </c>
      <c r="E7" s="7" t="n">
        <v>5</v>
      </c>
      <c r="P7" s="0" t="n">
        <v>5</v>
      </c>
    </row>
    <row r="8" customFormat="false" ht="13.8" hidden="false" customHeight="false" outlineLevel="0" collapsed="false">
      <c r="B8" s="6" t="s">
        <v>29</v>
      </c>
      <c r="C8" s="0" t="s">
        <v>30</v>
      </c>
      <c r="D8" s="0" t="s">
        <v>31</v>
      </c>
      <c r="E8" s="0" t="n">
        <v>5</v>
      </c>
      <c r="N8" s="0" t="n">
        <v>2</v>
      </c>
      <c r="P8" s="0" t="n">
        <v>3</v>
      </c>
    </row>
    <row r="9" customFormat="false" ht="13.8" hidden="false" customHeight="false" outlineLevel="0" collapsed="false">
      <c r="B9" s="6" t="s">
        <v>32</v>
      </c>
      <c r="C9" s="0" t="s">
        <v>33</v>
      </c>
      <c r="D9" s="0" t="s">
        <v>34</v>
      </c>
      <c r="E9" s="0" t="n">
        <v>3</v>
      </c>
      <c r="Q9" s="0" t="n">
        <v>3</v>
      </c>
    </row>
    <row r="10" customFormat="false" ht="13.8" hidden="false" customHeight="false" outlineLevel="0" collapsed="false">
      <c r="B10" s="6"/>
      <c r="C10" s="6"/>
      <c r="D10" s="7"/>
      <c r="E10" s="7"/>
    </row>
    <row r="11" customFormat="false" ht="13.8" hidden="false" customHeight="false" outlineLevel="0" collapsed="false">
      <c r="B11" s="6"/>
      <c r="C11" s="6"/>
      <c r="D11" s="7"/>
      <c r="E11" s="7"/>
    </row>
    <row r="12" customFormat="false" ht="13.8" hidden="false" customHeight="false" outlineLevel="0" collapsed="false">
      <c r="B12" s="6"/>
      <c r="C12" s="6"/>
      <c r="D12" s="7"/>
      <c r="E12" s="7"/>
    </row>
    <row r="13" customFormat="false" ht="13.8" hidden="false" customHeight="false" outlineLevel="0" collapsed="false">
      <c r="B13" s="6"/>
      <c r="C13" s="6"/>
      <c r="D13" s="7"/>
      <c r="E13" s="7"/>
    </row>
    <row r="14" customFormat="false" ht="13.8" hidden="false" customHeight="false" outlineLevel="0" collapsed="false">
      <c r="B14" s="6"/>
      <c r="C14" s="6"/>
      <c r="D14" s="7"/>
      <c r="E14" s="7"/>
    </row>
  </sheetData>
  <mergeCells count="1">
    <mergeCell ref="F1:Q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1:J31"/>
  <sheetViews>
    <sheetView showFormulas="false" showGridLines="true" showRowColHeaders="true" showZeros="true" rightToLeft="false" tabSelected="true" showOutlineSymbols="true" defaultGridColor="true" view="normal" topLeftCell="A1" colorId="64" zoomScale="70" zoomScaleNormal="70" zoomScalePageLayoutView="100" workbookViewId="0">
      <selection pane="topLeft" activeCell="I29" activeCellId="0" sqref="I29"/>
    </sheetView>
  </sheetViews>
  <sheetFormatPr defaultColWidth="10.54296875" defaultRowHeight="14.25" zeroHeight="false" outlineLevelRow="0" outlineLevelCol="0"/>
  <cols>
    <col collapsed="false" customWidth="true" hidden="false" outlineLevel="0" max="2" min="2" style="0" width="27.36"/>
    <col collapsed="false" customWidth="true" hidden="false" outlineLevel="0" max="3" min="3" style="0" width="20"/>
    <col collapsed="false" customWidth="true" hidden="false" outlineLevel="0" max="4" min="4" style="0" width="7.27"/>
    <col collapsed="false" customWidth="true" hidden="false" outlineLevel="0" max="5" min="5" style="0" width="21.55"/>
    <col collapsed="false" customWidth="true" hidden="false" outlineLevel="0" max="6" min="6" style="0" width="6.09"/>
    <col collapsed="false" customWidth="true" hidden="false" outlineLevel="0" max="7" min="7" style="0" width="21.55"/>
    <col collapsed="false" customWidth="true" hidden="false" outlineLevel="0" max="8" min="8" style="0" width="5.82"/>
    <col collapsed="false" customWidth="true" hidden="false" outlineLevel="0" max="9" min="9" style="0" width="21.55"/>
    <col collapsed="false" customWidth="true" hidden="false" outlineLevel="0" max="10" min="10" style="0" width="5.82"/>
  </cols>
  <sheetData>
    <row r="1" customFormat="false" ht="14.25" hidden="false" customHeight="false" outlineLevel="0" collapsed="false">
      <c r="C1" s="8" t="n">
        <v>2022</v>
      </c>
      <c r="D1" s="8" t="s">
        <v>35</v>
      </c>
      <c r="E1" s="8" t="n">
        <v>2023</v>
      </c>
      <c r="F1" s="8" t="s">
        <v>35</v>
      </c>
      <c r="G1" s="8" t="n">
        <v>2024</v>
      </c>
      <c r="H1" s="8"/>
      <c r="I1" s="8" t="n">
        <v>2025</v>
      </c>
      <c r="J1" s="8" t="s">
        <v>35</v>
      </c>
    </row>
    <row r="2" customFormat="false" ht="14.25" hidden="false" customHeight="false" outlineLevel="0" collapsed="false">
      <c r="B2" s="9" t="s">
        <v>36</v>
      </c>
      <c r="C2" s="10" t="n">
        <f aca="false">SUM(C3:C10)</f>
        <v>0</v>
      </c>
      <c r="D2" s="10"/>
      <c r="E2" s="10" t="n">
        <f aca="false">SUM(E3:E10)</f>
        <v>1600000</v>
      </c>
      <c r="F2" s="10"/>
      <c r="G2" s="10" t="n">
        <f aca="false">SUM(G3:G10)</f>
        <v>7200000</v>
      </c>
      <c r="H2" s="10"/>
      <c r="I2" s="10" t="n">
        <f aca="false">SUM(I3:I10)</f>
        <v>13500000</v>
      </c>
      <c r="J2" s="10"/>
    </row>
    <row r="3" customFormat="false" ht="14.25" hidden="false" customHeight="false" outlineLevel="0" collapsed="false">
      <c r="B3" s="11" t="s">
        <v>37</v>
      </c>
      <c r="C3" s="12"/>
      <c r="D3" s="13" t="e">
        <f aca="false">C3/C$2</f>
        <v>#DIV/0!</v>
      </c>
      <c r="E3" s="12" t="n">
        <v>700000</v>
      </c>
      <c r="F3" s="13" t="e">
        <f aca="false">#DIV/0!</f>
        <v>#DIV/0!</v>
      </c>
      <c r="G3" s="12" t="n">
        <v>1800000</v>
      </c>
      <c r="H3" s="13" t="e">
        <f aca="false">#div/0</f>
        <v>#NAME?</v>
      </c>
      <c r="I3" s="12" t="n">
        <v>6000000</v>
      </c>
      <c r="J3" s="13" t="e">
        <f aca="false">#DIV/0!</f>
        <v>#DIV/0!</v>
      </c>
    </row>
    <row r="4" customFormat="false" ht="14.25" hidden="false" customHeight="false" outlineLevel="0" collapsed="false">
      <c r="B4" s="11" t="s">
        <v>38</v>
      </c>
      <c r="C4" s="12"/>
      <c r="D4" s="13" t="e">
        <f aca="false">C4/C$2</f>
        <v>#DIV/0!</v>
      </c>
      <c r="E4" s="12" t="n">
        <v>900000</v>
      </c>
      <c r="F4" s="13" t="e">
        <f aca="false">#DIV/0!</f>
        <v>#DIV/0!</v>
      </c>
      <c r="G4" s="12" t="n">
        <v>2400000</v>
      </c>
      <c r="H4" s="13" t="e">
        <f aca="false">#DIV/0!</f>
        <v>#DIV/0!</v>
      </c>
      <c r="I4" s="12" t="n">
        <v>3000000</v>
      </c>
      <c r="J4" s="13" t="e">
        <f aca="false">#DIV/0!</f>
        <v>#DIV/0!</v>
      </c>
    </row>
    <row r="5" customFormat="false" ht="14.25" hidden="false" customHeight="false" outlineLevel="0" collapsed="false">
      <c r="B5" s="11" t="s">
        <v>39</v>
      </c>
      <c r="C5" s="12"/>
      <c r="D5" s="13" t="e">
        <f aca="false">C5/C$2</f>
        <v>#DIV/0!</v>
      </c>
      <c r="E5" s="12"/>
      <c r="F5" s="13" t="e">
        <f aca="false">#DIV/0!</f>
        <v>#DIV/0!</v>
      </c>
      <c r="G5" s="12" t="n">
        <v>3000000</v>
      </c>
      <c r="H5" s="13" t="e">
        <f aca="false">#DIV/0!</f>
        <v>#DIV/0!</v>
      </c>
      <c r="I5" s="12" t="n">
        <v>4500000</v>
      </c>
      <c r="J5" s="13" t="e">
        <f aca="false">#DIV/0!</f>
        <v>#DIV/0!</v>
      </c>
    </row>
    <row r="6" customFormat="false" ht="14.25" hidden="false" customHeight="false" outlineLevel="0" collapsed="false">
      <c r="B6" s="11" t="s">
        <v>40</v>
      </c>
      <c r="C6" s="12"/>
      <c r="D6" s="13" t="e">
        <f aca="false">C6/C$2</f>
        <v>#DIV/0!</v>
      </c>
      <c r="E6" s="12"/>
      <c r="F6" s="13" t="e">
        <f aca="false">#DIV/0!</f>
        <v>#DIV/0!</v>
      </c>
      <c r="G6" s="12"/>
      <c r="H6" s="13" t="e">
        <f aca="false">#DIV/0!</f>
        <v>#DIV/0!</v>
      </c>
      <c r="I6" s="12"/>
      <c r="J6" s="13" t="e">
        <f aca="false">#DIV/0!</f>
        <v>#DIV/0!</v>
      </c>
    </row>
    <row r="7" customFormat="false" ht="14.25" hidden="false" customHeight="false" outlineLevel="0" collapsed="false">
      <c r="B7" s="11" t="s">
        <v>41</v>
      </c>
      <c r="C7" s="12"/>
      <c r="D7" s="13" t="e">
        <f aca="false">C7/C$2</f>
        <v>#DIV/0!</v>
      </c>
      <c r="E7" s="12"/>
      <c r="F7" s="13" t="e">
        <f aca="false">#DIV/0!</f>
        <v>#DIV/0!</v>
      </c>
      <c r="G7" s="12"/>
      <c r="H7" s="13" t="e">
        <f aca="false">#DIV/0!</f>
        <v>#DIV/0!</v>
      </c>
      <c r="I7" s="12"/>
      <c r="J7" s="13" t="e">
        <f aca="false">#DIV/0!</f>
        <v>#DIV/0!</v>
      </c>
    </row>
    <row r="8" customFormat="false" ht="14.25" hidden="false" customHeight="false" outlineLevel="0" collapsed="false">
      <c r="B8" s="11" t="s">
        <v>42</v>
      </c>
      <c r="C8" s="12"/>
      <c r="D8" s="13" t="e">
        <f aca="false">C8/C$2</f>
        <v>#DIV/0!</v>
      </c>
      <c r="E8" s="12"/>
      <c r="F8" s="13" t="e">
        <f aca="false">#DIV/0!</f>
        <v>#DIV/0!</v>
      </c>
      <c r="G8" s="12"/>
      <c r="H8" s="13" t="e">
        <f aca="false">#DIV/0!</f>
        <v>#DIV/0!</v>
      </c>
      <c r="I8" s="12"/>
      <c r="J8" s="13" t="e">
        <f aca="false">#DIV/0!</f>
        <v>#DIV/0!</v>
      </c>
    </row>
    <row r="9" customFormat="false" ht="14.25" hidden="false" customHeight="false" outlineLevel="0" collapsed="false">
      <c r="B9" s="11" t="s">
        <v>43</v>
      </c>
      <c r="C9" s="12"/>
      <c r="D9" s="13" t="e">
        <f aca="false">C9/C$2</f>
        <v>#DIV/0!</v>
      </c>
      <c r="E9" s="12"/>
      <c r="F9" s="13" t="e">
        <f aca="false">#DIV/0!</f>
        <v>#DIV/0!</v>
      </c>
      <c r="G9" s="12"/>
      <c r="H9" s="13" t="e">
        <f aca="false">#DIV/0!</f>
        <v>#DIV/0!</v>
      </c>
      <c r="I9" s="12"/>
      <c r="J9" s="13" t="e">
        <f aca="false">#DIV/0!</f>
        <v>#DIV/0!</v>
      </c>
    </row>
    <row r="10" customFormat="false" ht="14.25" hidden="false" customHeight="false" outlineLevel="0" collapsed="false">
      <c r="B10" s="11" t="s">
        <v>44</v>
      </c>
      <c r="C10" s="12"/>
      <c r="D10" s="13" t="e">
        <f aca="false">C10/C$2</f>
        <v>#DIV/0!</v>
      </c>
      <c r="E10" s="12"/>
      <c r="F10" s="13" t="e">
        <f aca="false">#DIV/0!</f>
        <v>#DIV/0!</v>
      </c>
      <c r="G10" s="12"/>
      <c r="H10" s="13" t="e">
        <f aca="false">#DIV/0!</f>
        <v>#DIV/0!</v>
      </c>
      <c r="I10" s="12"/>
      <c r="J10" s="13" t="e">
        <f aca="false">#DIV/0!</f>
        <v>#DIV/0!</v>
      </c>
    </row>
    <row r="12" customFormat="false" ht="14.25" hidden="false" customHeight="false" outlineLevel="0" collapsed="false">
      <c r="B12" s="9" t="s">
        <v>45</v>
      </c>
      <c r="C12" s="10" t="n">
        <f aca="false">SUM(C13:C14)</f>
        <v>0</v>
      </c>
      <c r="D12" s="14" t="e">
        <f aca="false">C12/C$2</f>
        <v>#DIV/0!</v>
      </c>
      <c r="E12" s="10"/>
      <c r="F12" s="10" t="e">
        <f aca="false">#DIV/0!</f>
        <v>#DIV/0!</v>
      </c>
      <c r="G12" s="10" t="n">
        <f aca="false">SUM(G13:G14)</f>
        <v>5350000</v>
      </c>
      <c r="H12" s="10" t="e">
        <f aca="false">#DIV/0!</f>
        <v>#DIV/0!</v>
      </c>
      <c r="I12" s="10" t="n">
        <f aca="false">SUM(I13:I14)</f>
        <v>8300000</v>
      </c>
      <c r="J12" s="10" t="e">
        <f aca="false">#DIV/0!</f>
        <v>#DIV/0!</v>
      </c>
    </row>
    <row r="13" customFormat="false" ht="14.25" hidden="false" customHeight="false" outlineLevel="0" collapsed="false">
      <c r="B13" s="15" t="s">
        <v>46</v>
      </c>
      <c r="C13" s="12"/>
      <c r="D13" s="13" t="e">
        <f aca="false">C13/C$2</f>
        <v>#DIV/0!</v>
      </c>
      <c r="E13" s="12" t="n">
        <v>1090000</v>
      </c>
      <c r="F13" s="13" t="e">
        <f aca="false">#DIV/0!</f>
        <v>#DIV/0!</v>
      </c>
      <c r="G13" s="12" t="n">
        <v>5350000</v>
      </c>
      <c r="H13" s="13" t="e">
        <f aca="false">#DIV/0!</f>
        <v>#DIV/0!</v>
      </c>
      <c r="I13" s="12" t="n">
        <v>8300000</v>
      </c>
      <c r="J13" s="13" t="e">
        <f aca="false">#DIV/0!</f>
        <v>#DIV/0!</v>
      </c>
    </row>
    <row r="14" customFormat="false" ht="14.25" hidden="false" customHeight="false" outlineLevel="0" collapsed="false">
      <c r="B14" s="15" t="s">
        <v>47</v>
      </c>
      <c r="C14" s="12"/>
      <c r="D14" s="13" t="e">
        <f aca="false">C14/C$2</f>
        <v>#DIV/0!</v>
      </c>
      <c r="E14" s="12"/>
      <c r="F14" s="13" t="e">
        <f aca="false">#DIV/0!</f>
        <v>#DIV/0!</v>
      </c>
      <c r="G14" s="12"/>
      <c r="H14" s="13" t="e">
        <f aca="false">#DIV/0!</f>
        <v>#DIV/0!</v>
      </c>
      <c r="I14" s="12"/>
      <c r="J14" s="13" t="e">
        <f aca="false">#DIV/0!</f>
        <v>#DIV/0!</v>
      </c>
    </row>
    <row r="15" customFormat="false" ht="14.25" hidden="false" customHeight="false" outlineLevel="0" collapsed="false">
      <c r="B15" s="16" t="s">
        <v>48</v>
      </c>
      <c r="C15" s="10" t="n">
        <f aca="false">SUM(C3:C10)-SUM(C13:C14)</f>
        <v>0</v>
      </c>
      <c r="D15" s="14" t="e">
        <f aca="false">C15/C$2</f>
        <v>#DIV/0!</v>
      </c>
      <c r="E15" s="10" t="n">
        <f aca="false">SUM(E3:E10)-SUM(E13:E14)</f>
        <v>510000</v>
      </c>
      <c r="F15" s="10" t="e">
        <f aca="false">#DIV/0!</f>
        <v>#DIV/0!</v>
      </c>
      <c r="G15" s="10" t="n">
        <f aca="false">SUM(G3:G10)-SUM(G13:G14)</f>
        <v>1850000</v>
      </c>
      <c r="H15" s="10" t="e">
        <f aca="false">#DIV/0!</f>
        <v>#DIV/0!</v>
      </c>
      <c r="I15" s="10" t="n">
        <f aca="false">SUM(I3:I10)-SUM(I13:I14)</f>
        <v>5200000</v>
      </c>
      <c r="J15" s="10" t="e">
        <f aca="false">#DIV/0!</f>
        <v>#DIV/0!</v>
      </c>
    </row>
    <row r="16" customFormat="false" ht="14.25" hidden="false" customHeight="false" outlineLevel="0" collapsed="false">
      <c r="B16" s="17"/>
    </row>
    <row r="17" customFormat="false" ht="14.25" hidden="false" customHeight="false" outlineLevel="0" collapsed="false">
      <c r="B17" s="9" t="s">
        <v>49</v>
      </c>
      <c r="C17" s="10" t="n">
        <f aca="false">SUM(C18:C26)</f>
        <v>0</v>
      </c>
      <c r="D17" s="14" t="e">
        <f aca="false">C17/C$2</f>
        <v>#DIV/0!</v>
      </c>
      <c r="E17" s="10" t="n">
        <f aca="false">SUM(E18:E26)</f>
        <v>0</v>
      </c>
      <c r="F17" s="10" t="e">
        <f aca="false">#DIV/0!</f>
        <v>#DIV/0!</v>
      </c>
      <c r="G17" s="10" t="n">
        <f aca="false">SUM(G18:G26)</f>
        <v>0</v>
      </c>
      <c r="H17" s="10" t="e">
        <f aca="false">#DIV/0!</f>
        <v>#DIV/0!</v>
      </c>
      <c r="I17" s="10" t="n">
        <f aca="false">SUM(I18:I26)</f>
        <v>700000</v>
      </c>
      <c r="J17" s="10" t="e">
        <f aca="false">#DIV/0!</f>
        <v>#DIV/0!</v>
      </c>
    </row>
    <row r="18" customFormat="false" ht="14.25" hidden="false" customHeight="false" outlineLevel="0" collapsed="false">
      <c r="B18" s="15" t="s">
        <v>50</v>
      </c>
      <c r="C18" s="12"/>
      <c r="D18" s="13" t="e">
        <f aca="false">C18/C$2</f>
        <v>#DIV/0!</v>
      </c>
      <c r="E18" s="12"/>
      <c r="F18" s="13" t="e">
        <f aca="false">#DIV/0!</f>
        <v>#DIV/0!</v>
      </c>
      <c r="G18" s="12"/>
      <c r="H18" s="13" t="e">
        <f aca="false">#DIV/0!</f>
        <v>#DIV/0!</v>
      </c>
      <c r="I18" s="12" t="n">
        <v>700000</v>
      </c>
      <c r="J18" s="13" t="e">
        <f aca="false">#DIV/0!</f>
        <v>#DIV/0!</v>
      </c>
    </row>
    <row r="19" customFormat="false" ht="14.25" hidden="false" customHeight="false" outlineLevel="0" collapsed="false">
      <c r="B19" s="15" t="s">
        <v>51</v>
      </c>
      <c r="C19" s="12"/>
      <c r="D19" s="13" t="e">
        <f aca="false">C19/C$2</f>
        <v>#DIV/0!</v>
      </c>
      <c r="E19" s="12"/>
      <c r="F19" s="13" t="e">
        <f aca="false">#DIV/0!</f>
        <v>#DIV/0!</v>
      </c>
      <c r="G19" s="12"/>
      <c r="H19" s="13" t="e">
        <f aca="false">#DIV/0!</f>
        <v>#DIV/0!</v>
      </c>
      <c r="I19" s="12"/>
      <c r="J19" s="13" t="e">
        <f aca="false">#DIV/0!</f>
        <v>#DIV/0!</v>
      </c>
    </row>
    <row r="20" customFormat="false" ht="14.25" hidden="false" customHeight="false" outlineLevel="0" collapsed="false">
      <c r="B20" s="15" t="s">
        <v>52</v>
      </c>
      <c r="C20" s="12"/>
      <c r="D20" s="13" t="e">
        <f aca="false">C20/C$2</f>
        <v>#DIV/0!</v>
      </c>
      <c r="E20" s="12"/>
      <c r="F20" s="13" t="e">
        <f aca="false">#DIV/0!</f>
        <v>#DIV/0!</v>
      </c>
      <c r="G20" s="12"/>
      <c r="H20" s="13" t="e">
        <f aca="false">#DIV/0!</f>
        <v>#DIV/0!</v>
      </c>
      <c r="I20" s="12"/>
      <c r="J20" s="13" t="e">
        <f aca="false">#DIV/0!</f>
        <v>#DIV/0!</v>
      </c>
    </row>
    <row r="21" customFormat="false" ht="14.25" hidden="false" customHeight="false" outlineLevel="0" collapsed="false">
      <c r="B21" s="15" t="s">
        <v>53</v>
      </c>
      <c r="C21" s="12"/>
      <c r="D21" s="13" t="e">
        <f aca="false">C21/C$2</f>
        <v>#DIV/0!</v>
      </c>
      <c r="E21" s="12"/>
      <c r="F21" s="13" t="e">
        <f aca="false">#DIV/0!</f>
        <v>#DIV/0!</v>
      </c>
      <c r="G21" s="12"/>
      <c r="H21" s="13" t="e">
        <f aca="false">#DIV/0!</f>
        <v>#DIV/0!</v>
      </c>
      <c r="I21" s="12"/>
      <c r="J21" s="13" t="e">
        <f aca="false">#DIV/0!</f>
        <v>#DIV/0!</v>
      </c>
    </row>
    <row r="22" customFormat="false" ht="14.25" hidden="false" customHeight="false" outlineLevel="0" collapsed="false">
      <c r="B22" s="15" t="s">
        <v>54</v>
      </c>
      <c r="C22" s="12"/>
      <c r="D22" s="13" t="e">
        <f aca="false">C22/C$2</f>
        <v>#DIV/0!</v>
      </c>
      <c r="E22" s="12"/>
      <c r="F22" s="13" t="e">
        <f aca="false">#DIV/0!</f>
        <v>#DIV/0!</v>
      </c>
      <c r="G22" s="12"/>
      <c r="H22" s="13" t="e">
        <f aca="false">#DIV/0!</f>
        <v>#DIV/0!</v>
      </c>
      <c r="I22" s="12"/>
      <c r="J22" s="13" t="e">
        <f aca="false">#DIV/0!</f>
        <v>#DIV/0!</v>
      </c>
    </row>
    <row r="23" customFormat="false" ht="14.25" hidden="false" customHeight="false" outlineLevel="0" collapsed="false">
      <c r="B23" s="15" t="s">
        <v>55</v>
      </c>
      <c r="C23" s="12"/>
      <c r="D23" s="13" t="e">
        <f aca="false">C23/C$2</f>
        <v>#DIV/0!</v>
      </c>
      <c r="E23" s="12"/>
      <c r="F23" s="13" t="e">
        <f aca="false">#DIV/0!</f>
        <v>#DIV/0!</v>
      </c>
      <c r="G23" s="12"/>
      <c r="H23" s="13" t="e">
        <f aca="false">#DIV/0!</f>
        <v>#DIV/0!</v>
      </c>
      <c r="I23" s="12"/>
      <c r="J23" s="13" t="e">
        <f aca="false">#DIV/0!</f>
        <v>#DIV/0!</v>
      </c>
    </row>
    <row r="24" customFormat="false" ht="14.25" hidden="false" customHeight="false" outlineLevel="0" collapsed="false">
      <c r="B24" s="15" t="s">
        <v>56</v>
      </c>
      <c r="C24" s="12"/>
      <c r="D24" s="13" t="e">
        <f aca="false">C24/C$2</f>
        <v>#DIV/0!</v>
      </c>
      <c r="E24" s="12"/>
      <c r="F24" s="13" t="e">
        <f aca="false">#DIV/0!</f>
        <v>#DIV/0!</v>
      </c>
      <c r="G24" s="12"/>
      <c r="H24" s="13" t="e">
        <f aca="false">#DIV/0!</f>
        <v>#DIV/0!</v>
      </c>
      <c r="I24" s="12"/>
      <c r="J24" s="13" t="e">
        <f aca="false">#DIV/0!</f>
        <v>#DIV/0!</v>
      </c>
    </row>
    <row r="25" customFormat="false" ht="14.25" hidden="false" customHeight="false" outlineLevel="0" collapsed="false">
      <c r="B25" s="15" t="s">
        <v>57</v>
      </c>
      <c r="C25" s="12"/>
      <c r="D25" s="13" t="e">
        <f aca="false">C25/C$2</f>
        <v>#DIV/0!</v>
      </c>
      <c r="E25" s="12"/>
      <c r="F25" s="13" t="e">
        <f aca="false">#DIV/0!</f>
        <v>#DIV/0!</v>
      </c>
      <c r="G25" s="12"/>
      <c r="H25" s="13" t="e">
        <f aca="false">#DIV/0!</f>
        <v>#DIV/0!</v>
      </c>
      <c r="I25" s="12"/>
      <c r="J25" s="13" t="e">
        <f aca="false">#DIV/0!</f>
        <v>#DIV/0!</v>
      </c>
    </row>
    <row r="26" customFormat="false" ht="14.25" hidden="false" customHeight="false" outlineLevel="0" collapsed="false">
      <c r="B26" s="15" t="s">
        <v>58</v>
      </c>
      <c r="C26" s="12"/>
      <c r="D26" s="13" t="e">
        <f aca="false">C26/C$2</f>
        <v>#DIV/0!</v>
      </c>
      <c r="E26" s="12"/>
      <c r="F26" s="13" t="e">
        <f aca="false">#DIV/0!</f>
        <v>#DIV/0!</v>
      </c>
      <c r="G26" s="12"/>
      <c r="H26" s="13" t="e">
        <f aca="false">#DIV/0!</f>
        <v>#DIV/0!</v>
      </c>
      <c r="I26" s="12"/>
      <c r="J26" s="13" t="e">
        <f aca="false">#DIV/0!</f>
        <v>#DIV/0!</v>
      </c>
    </row>
    <row r="27" customFormat="false" ht="14.25" hidden="false" customHeight="false" outlineLevel="0" collapsed="false">
      <c r="B27" s="16" t="s">
        <v>59</v>
      </c>
      <c r="C27" s="10" t="n">
        <f aca="false">C15-SUM(C18:C26)</f>
        <v>0</v>
      </c>
      <c r="D27" s="14" t="e">
        <f aca="false">C27/C$2</f>
        <v>#DIV/0!</v>
      </c>
      <c r="E27" s="10" t="n">
        <f aca="false">E15-SUM(E18:E26)</f>
        <v>510000</v>
      </c>
      <c r="F27" s="10" t="e">
        <f aca="false">#DIV/0!</f>
        <v>#DIV/0!</v>
      </c>
      <c r="G27" s="10" t="n">
        <f aca="false">G15-SUM(G18:G26)</f>
        <v>1850000</v>
      </c>
      <c r="H27" s="10" t="e">
        <f aca="false">#DIV/0!</f>
        <v>#DIV/0!</v>
      </c>
      <c r="I27" s="10" t="n">
        <f aca="false">I15-SUM(I18:I26)</f>
        <v>4500000</v>
      </c>
      <c r="J27" s="10" t="e">
        <f aca="false">#DIV/0!</f>
        <v>#DIV/0!</v>
      </c>
    </row>
    <row r="28" customFormat="false" ht="14.25" hidden="false" customHeight="false" outlineLevel="0" collapsed="false">
      <c r="B28" s="17"/>
    </row>
    <row r="29" customFormat="false" ht="14.25" hidden="false" customHeight="false" outlineLevel="0" collapsed="false">
      <c r="B29" s="15" t="s">
        <v>60</v>
      </c>
      <c r="C29" s="12"/>
      <c r="D29" s="14" t="e">
        <f aca="false">C29/C$2</f>
        <v>#DIV/0!</v>
      </c>
      <c r="E29" s="12" t="n">
        <v>185000</v>
      </c>
      <c r="F29" s="14" t="e">
        <f aca="false">#DIV/0!</f>
        <v>#DIV/0!</v>
      </c>
      <c r="G29" s="12" t="n">
        <v>730000</v>
      </c>
      <c r="H29" s="14" t="e">
        <f aca="false">#DIV/0!</f>
        <v>#DIV/0!</v>
      </c>
      <c r="I29" s="12" t="n">
        <v>1580000</v>
      </c>
      <c r="J29" s="14" t="e">
        <f aca="false">#DIV/0!</f>
        <v>#DIV/0!</v>
      </c>
    </row>
    <row r="30" customFormat="false" ht="14.25" hidden="false" customHeight="false" outlineLevel="0" collapsed="false">
      <c r="F30" s="18"/>
      <c r="G30" s="19"/>
      <c r="H30" s="18"/>
      <c r="I30" s="19"/>
      <c r="J30" s="18"/>
    </row>
    <row r="31" customFormat="false" ht="14.25" hidden="false" customHeight="false" outlineLevel="0" collapsed="false">
      <c r="B31" s="9" t="s">
        <v>61</v>
      </c>
      <c r="C31" s="20" t="n">
        <f aca="false">C27-C29</f>
        <v>0</v>
      </c>
      <c r="D31" s="13" t="e">
        <f aca="false">C31/C$2</f>
        <v>#DIV/0!</v>
      </c>
      <c r="E31" s="20" t="n">
        <f aca="false">E27-E29</f>
        <v>325000</v>
      </c>
      <c r="F31" s="20" t="n">
        <f aca="false">E$2/E31</f>
        <v>4.92307692307692</v>
      </c>
      <c r="G31" s="20" t="n">
        <f aca="false">G27-G29</f>
        <v>1120000</v>
      </c>
      <c r="H31" s="20" t="n">
        <f aca="false">G$2/G31</f>
        <v>6.42857142857143</v>
      </c>
      <c r="I31" s="20" t="n">
        <f aca="false">I27-I29</f>
        <v>2920000</v>
      </c>
      <c r="J31" s="20" t="n">
        <f aca="false">I$2/I31</f>
        <v>4.62328767123288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2:I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4" activeCellId="0" sqref="F14"/>
    </sheetView>
  </sheetViews>
  <sheetFormatPr defaultColWidth="10.54296875" defaultRowHeight="13.8" zeroHeight="false" outlineLevelRow="0" outlineLevelCol="0"/>
  <cols>
    <col collapsed="false" customWidth="false" hidden="false" outlineLevel="0" max="1" min="1" style="5" width="10.54"/>
    <col collapsed="false" customWidth="true" hidden="false" outlineLevel="0" max="2" min="2" style="5" width="25.27"/>
    <col collapsed="false" customWidth="true" hidden="false" outlineLevel="0" max="3" min="3" style="5" width="13.9"/>
    <col collapsed="false" customWidth="true" hidden="false" outlineLevel="0" max="4" min="4" style="5" width="11"/>
    <col collapsed="false" customWidth="true" hidden="false" outlineLevel="0" max="5" min="5" style="5" width="13.9"/>
    <col collapsed="false" customWidth="true" hidden="false" outlineLevel="0" max="6" min="6" style="5" width="15.83"/>
    <col collapsed="false" customWidth="true" hidden="false" outlineLevel="0" max="7" min="7" style="5" width="15.09"/>
    <col collapsed="false" customWidth="false" hidden="false" outlineLevel="0" max="1024" min="8" style="5" width="10.54"/>
  </cols>
  <sheetData>
    <row r="2" customFormat="false" ht="64.5" hidden="false" customHeight="true" outlineLevel="0" collapsed="false">
      <c r="B2" s="21" t="s">
        <v>62</v>
      </c>
      <c r="C2" s="21" t="s">
        <v>63</v>
      </c>
      <c r="D2" s="21" t="s">
        <v>64</v>
      </c>
      <c r="E2" s="21" t="s">
        <v>65</v>
      </c>
      <c r="F2" s="22" t="s">
        <v>66</v>
      </c>
      <c r="G2" s="21" t="s">
        <v>67</v>
      </c>
      <c r="H2" s="23"/>
      <c r="I2" s="23"/>
    </row>
    <row r="3" customFormat="false" ht="13.8" hidden="false" customHeight="false" outlineLevel="0" collapsed="false">
      <c r="B3" s="6" t="s">
        <v>68</v>
      </c>
      <c r="C3" s="24" t="n">
        <v>100000</v>
      </c>
      <c r="D3" s="24" t="n">
        <v>3</v>
      </c>
      <c r="E3" s="24" t="n">
        <f aca="false">D3*C3</f>
        <v>300000</v>
      </c>
      <c r="F3" s="24"/>
      <c r="G3" s="25" t="n">
        <v>45139</v>
      </c>
    </row>
    <row r="4" customFormat="false" ht="13.8" hidden="false" customHeight="false" outlineLevel="0" collapsed="false">
      <c r="B4" s="6" t="s">
        <v>69</v>
      </c>
      <c r="C4" s="6" t="n">
        <v>150000</v>
      </c>
      <c r="D4" s="6" t="n">
        <v>3</v>
      </c>
      <c r="E4" s="6" t="n">
        <f aca="false">C4*D4</f>
        <v>450000</v>
      </c>
      <c r="F4" s="6"/>
      <c r="G4" s="26" t="n">
        <v>45139</v>
      </c>
    </row>
    <row r="5" customFormat="false" ht="13.8" hidden="false" customHeight="false" outlineLevel="0" collapsed="false">
      <c r="B5" s="6" t="s">
        <v>70</v>
      </c>
      <c r="C5" s="6" t="n">
        <v>70000</v>
      </c>
      <c r="D5" s="6" t="n">
        <v>2</v>
      </c>
      <c r="E5" s="6" t="n">
        <f aca="false">C5*D5</f>
        <v>140000</v>
      </c>
      <c r="F5" s="6"/>
      <c r="G5" s="26" t="n">
        <v>45139</v>
      </c>
    </row>
    <row r="6" customFormat="false" ht="13.8" hidden="false" customHeight="false" outlineLevel="0" collapsed="false">
      <c r="B6" s="6" t="s">
        <v>71</v>
      </c>
      <c r="C6" s="6" t="n">
        <v>100000</v>
      </c>
      <c r="D6" s="6" t="n">
        <v>2</v>
      </c>
      <c r="E6" s="6" t="n">
        <f aca="false">C6*D6</f>
        <v>200000</v>
      </c>
      <c r="F6" s="6"/>
      <c r="G6" s="26" t="n">
        <v>45139</v>
      </c>
    </row>
    <row r="7" customFormat="false" ht="13.8" hidden="false" customHeight="false" outlineLevel="0" collapsed="false">
      <c r="D7" s="5" t="s">
        <v>72</v>
      </c>
      <c r="E7" s="5" t="n">
        <f aca="false">SUM(E3:E6)</f>
        <v>1090000</v>
      </c>
    </row>
    <row r="9" customFormat="false" ht="13.8" hidden="false" customHeight="false" outlineLevel="0" collapsed="false">
      <c r="B9" s="6" t="s">
        <v>73</v>
      </c>
      <c r="C9" s="6" t="n">
        <v>1200000</v>
      </c>
      <c r="D9" s="6" t="n">
        <v>3</v>
      </c>
      <c r="E9" s="6" t="n">
        <f aca="false">C9*D9</f>
        <v>3600000</v>
      </c>
      <c r="F9" s="6"/>
      <c r="G9" s="26" t="n">
        <v>45352</v>
      </c>
    </row>
    <row r="10" customFormat="false" ht="13.8" hidden="false" customHeight="false" outlineLevel="0" collapsed="false">
      <c r="B10" s="6" t="s">
        <v>74</v>
      </c>
      <c r="C10" s="6" t="n">
        <v>1000000</v>
      </c>
      <c r="D10" s="6" t="n">
        <v>1</v>
      </c>
      <c r="E10" s="6" t="n">
        <v>1000000</v>
      </c>
      <c r="F10" s="6"/>
      <c r="G10" s="27" t="n">
        <v>45294</v>
      </c>
    </row>
    <row r="11" customFormat="false" ht="13.8" hidden="false" customHeight="false" outlineLevel="0" collapsed="false">
      <c r="B11" s="6" t="s">
        <v>68</v>
      </c>
      <c r="C11" s="24" t="n">
        <v>100000</v>
      </c>
      <c r="D11" s="24" t="n">
        <v>3</v>
      </c>
      <c r="E11" s="24" t="n">
        <f aca="false">D11*C11</f>
        <v>300000</v>
      </c>
      <c r="F11" s="24"/>
      <c r="G11" s="25" t="n">
        <v>45505</v>
      </c>
    </row>
    <row r="12" customFormat="false" ht="13.8" hidden="false" customHeight="false" outlineLevel="0" collapsed="false">
      <c r="B12" s="6" t="s">
        <v>69</v>
      </c>
      <c r="C12" s="6" t="n">
        <v>150000</v>
      </c>
      <c r="D12" s="6" t="n">
        <v>3</v>
      </c>
      <c r="E12" s="6" t="n">
        <f aca="false">C12*D12</f>
        <v>450000</v>
      </c>
      <c r="F12" s="6"/>
      <c r="G12" s="26" t="n">
        <v>45505</v>
      </c>
    </row>
    <row r="13" customFormat="false" ht="13.8" hidden="false" customHeight="false" outlineLevel="0" collapsed="false">
      <c r="B13" s="6"/>
      <c r="C13" s="6"/>
      <c r="D13" s="6" t="s">
        <v>72</v>
      </c>
      <c r="E13" s="6" t="n">
        <f aca="false">SUM(E9:E12)</f>
        <v>5350000</v>
      </c>
      <c r="F13" s="6"/>
      <c r="G13" s="26"/>
    </row>
    <row r="14" customFormat="false" ht="13.8" hidden="false" customHeight="false" outlineLevel="0" collapsed="false">
      <c r="B14" s="6"/>
      <c r="C14" s="6"/>
      <c r="D14" s="6"/>
      <c r="E14" s="6"/>
      <c r="F14" s="6"/>
      <c r="G14" s="26"/>
    </row>
    <row r="15" customFormat="false" ht="13.8" hidden="false" customHeight="false" outlineLevel="0" collapsed="false">
      <c r="B15" s="0"/>
      <c r="C15" s="0"/>
      <c r="D15" s="0"/>
      <c r="E15" s="0"/>
      <c r="F15" s="0"/>
      <c r="G15" s="0"/>
    </row>
    <row r="16" customFormat="false" ht="13.8" hidden="false" customHeight="false" outlineLevel="0" collapsed="false">
      <c r="B16" s="6" t="s">
        <v>73</v>
      </c>
      <c r="C16" s="6" t="n">
        <v>1200000</v>
      </c>
      <c r="D16" s="6" t="n">
        <v>5</v>
      </c>
      <c r="E16" s="6" t="n">
        <f aca="false">C16*D16</f>
        <v>6000000</v>
      </c>
      <c r="F16" s="6"/>
      <c r="G16" s="26" t="n">
        <v>45717</v>
      </c>
    </row>
    <row r="17" customFormat="false" ht="13.8" hidden="false" customHeight="false" outlineLevel="0" collapsed="false">
      <c r="B17" s="6" t="s">
        <v>74</v>
      </c>
      <c r="C17" s="6" t="n">
        <v>1000000</v>
      </c>
      <c r="D17" s="6" t="n">
        <v>1</v>
      </c>
      <c r="E17" s="6" t="n">
        <v>1000000</v>
      </c>
      <c r="F17" s="6"/>
      <c r="G17" s="27" t="n">
        <v>45660</v>
      </c>
    </row>
    <row r="18" customFormat="false" ht="13.8" hidden="false" customHeight="false" outlineLevel="0" collapsed="false">
      <c r="B18" s="6" t="s">
        <v>68</v>
      </c>
      <c r="C18" s="24" t="n">
        <v>100000</v>
      </c>
      <c r="D18" s="24" t="n">
        <v>4</v>
      </c>
      <c r="E18" s="24" t="n">
        <f aca="false">D18*C18</f>
        <v>400000</v>
      </c>
      <c r="F18" s="24"/>
      <c r="G18" s="25" t="n">
        <v>45870</v>
      </c>
    </row>
    <row r="19" customFormat="false" ht="13.8" hidden="false" customHeight="false" outlineLevel="0" collapsed="false">
      <c r="B19" s="6" t="s">
        <v>69</v>
      </c>
      <c r="C19" s="6" t="n">
        <v>150000</v>
      </c>
      <c r="D19" s="6" t="n">
        <v>6</v>
      </c>
      <c r="E19" s="6" t="n">
        <f aca="false">C19*D19</f>
        <v>900000</v>
      </c>
      <c r="F19" s="6"/>
      <c r="G19" s="26" t="n">
        <v>45870</v>
      </c>
    </row>
    <row r="20" customFormat="false" ht="13.8" hidden="false" customHeight="false" outlineLevel="0" collapsed="false">
      <c r="B20" s="6"/>
      <c r="C20" s="6"/>
      <c r="D20" s="6" t="s">
        <v>72</v>
      </c>
      <c r="E20" s="6" t="n">
        <f aca="false">SUM(E16:E19)</f>
        <v>8300000</v>
      </c>
      <c r="F20" s="6"/>
      <c r="G20" s="26"/>
    </row>
    <row r="21" customFormat="false" ht="13.8" hidden="false" customHeight="false" outlineLevel="0" collapsed="false">
      <c r="B21" s="6"/>
      <c r="C21" s="6"/>
      <c r="D21" s="6"/>
      <c r="E21" s="6"/>
      <c r="F21" s="6"/>
      <c r="G21" s="26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/>
  <dc:description/>
  <dc:language>en-US</dc:language>
  <cp:lastModifiedBy/>
  <dcterms:modified xsi:type="dcterms:W3CDTF">2023-05-07T12:11:30Z</dcterms:modified>
  <cp:revision>22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